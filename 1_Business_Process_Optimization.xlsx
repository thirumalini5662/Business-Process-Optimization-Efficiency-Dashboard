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_Data" sheetId="1" state="visible" r:id="rId3"/>
    <sheet name="KPI_Summary" sheetId="2" state="visible" r:id="rId4"/>
    <sheet name="Dept_Cost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<sst xmlns="http://schemas.openxmlformats.org/spreadsheetml/2006/main" count="557" uniqueCount="241">
  <si>
    <t xml:space="preserve">BUSINESS PROCESS OPTIMIZATION — Raw Data</t>
  </si>
  <si>
    <t xml:space="preserve">Process_ID</t>
  </si>
  <si>
    <t xml:space="preserve">Process</t>
  </si>
  <si>
    <t xml:space="preserve">Step</t>
  </si>
  <si>
    <t xml:space="preserve">Department</t>
  </si>
  <si>
    <t xml:space="preserve">Start_Time</t>
  </si>
  <si>
    <t xml:space="preserve">End_Time</t>
  </si>
  <si>
    <t xml:space="preserve">Duration_Mins</t>
  </si>
  <si>
    <t xml:space="preserve">Cost_INR</t>
  </si>
  <si>
    <t xml:space="preserve">Status</t>
  </si>
  <si>
    <t xml:space="preserve">Owner</t>
  </si>
  <si>
    <t xml:space="preserve">Process_Type</t>
  </si>
  <si>
    <t xml:space="preserve">Priority</t>
  </si>
  <si>
    <t xml:space="preserve">PRC001</t>
  </si>
  <si>
    <t xml:space="preserve">Inventory Check</t>
  </si>
  <si>
    <t xml:space="preserve">Initiation</t>
  </si>
  <si>
    <t xml:space="preserve">Sales</t>
  </si>
  <si>
    <t xml:space="preserve">2024-01-30 10:47</t>
  </si>
  <si>
    <t xml:space="preserve">2024-01-30 11:59</t>
  </si>
  <si>
    <t xml:space="preserve">Delayed</t>
  </si>
  <si>
    <t xml:space="preserve">Rohit Mehta</t>
  </si>
  <si>
    <t xml:space="preserve">Strategic</t>
  </si>
  <si>
    <t xml:space="preserve">High</t>
  </si>
  <si>
    <t xml:space="preserve">PRC002</t>
  </si>
  <si>
    <t xml:space="preserve">Order Fulfillment</t>
  </si>
  <si>
    <t xml:space="preserve">Verification</t>
  </si>
  <si>
    <t xml:space="preserve">HR</t>
  </si>
  <si>
    <t xml:space="preserve">2024-03-06 08:35</t>
  </si>
  <si>
    <t xml:space="preserve">2024-03-06 09:44</t>
  </si>
  <si>
    <t xml:space="preserve">Meena Iyer</t>
  </si>
  <si>
    <t xml:space="preserve">Support</t>
  </si>
  <si>
    <t xml:space="preserve">Medium</t>
  </si>
  <si>
    <t xml:space="preserve">PRC003</t>
  </si>
  <si>
    <t xml:space="preserve">Procurement</t>
  </si>
  <si>
    <t xml:space="preserve">Completion</t>
  </si>
  <si>
    <t xml:space="preserve">Operations</t>
  </si>
  <si>
    <t xml:space="preserve">2024-03-31 14:21</t>
  </si>
  <si>
    <t xml:space="preserve">2024-03-31 15:11</t>
  </si>
  <si>
    <t xml:space="preserve">Completed</t>
  </si>
  <si>
    <t xml:space="preserve">Karan Singh</t>
  </si>
  <si>
    <t xml:space="preserve">Core</t>
  </si>
  <si>
    <t xml:space="preserve">PRC004</t>
  </si>
  <si>
    <t xml:space="preserve">Quality Check</t>
  </si>
  <si>
    <t xml:space="preserve">2024-03-19 12:02</t>
  </si>
  <si>
    <t xml:space="preserve">2024-03-19 13:40</t>
  </si>
  <si>
    <t xml:space="preserve">PRC005</t>
  </si>
  <si>
    <t xml:space="preserve">IT Support</t>
  </si>
  <si>
    <t xml:space="preserve">2024-01-26 09:02</t>
  </si>
  <si>
    <t xml:space="preserve">2024-01-26 11:39</t>
  </si>
  <si>
    <t xml:space="preserve">PRC006</t>
  </si>
  <si>
    <t xml:space="preserve">Customer Service</t>
  </si>
  <si>
    <t xml:space="preserve">2024-02-17 10:23</t>
  </si>
  <si>
    <t xml:space="preserve">2024-02-17 13:15</t>
  </si>
  <si>
    <t xml:space="preserve">Low</t>
  </si>
  <si>
    <t xml:space="preserve">PRC007</t>
  </si>
  <si>
    <t xml:space="preserve">Invoice Processing</t>
  </si>
  <si>
    <t xml:space="preserve">Processing</t>
  </si>
  <si>
    <t xml:space="preserve">2024-02-05 16:14</t>
  </si>
  <si>
    <t xml:space="preserve">2024-02-05 18:01</t>
  </si>
  <si>
    <t xml:space="preserve">Suresh Rajan</t>
  </si>
  <si>
    <t xml:space="preserve">PRC008</t>
  </si>
  <si>
    <t xml:space="preserve">Finance</t>
  </si>
  <si>
    <t xml:space="preserve">2024-03-14 13:13</t>
  </si>
  <si>
    <t xml:space="preserve">2024-03-14 14:17</t>
  </si>
  <si>
    <t xml:space="preserve">Pending</t>
  </si>
  <si>
    <t xml:space="preserve">Vijay Kumar</t>
  </si>
  <si>
    <t xml:space="preserve">PRC009</t>
  </si>
  <si>
    <t xml:space="preserve">Customer Onboarding</t>
  </si>
  <si>
    <t xml:space="preserve">Approval</t>
  </si>
  <si>
    <t xml:space="preserve">2024-02-25 14:23</t>
  </si>
  <si>
    <t xml:space="preserve">2024-02-25 17:02</t>
  </si>
  <si>
    <t xml:space="preserve">Anita Desai</t>
  </si>
  <si>
    <t xml:space="preserve">PRC010</t>
  </si>
  <si>
    <t xml:space="preserve">IT</t>
  </si>
  <si>
    <t xml:space="preserve">2024-01-22 14:38</t>
  </si>
  <si>
    <t xml:space="preserve">2024-01-22 17:28</t>
  </si>
  <si>
    <t xml:space="preserve">Ramesh Patel</t>
  </si>
  <si>
    <t xml:space="preserve">PRC011</t>
  </si>
  <si>
    <t xml:space="preserve">Vendor Payment</t>
  </si>
  <si>
    <t xml:space="preserve">Closure</t>
  </si>
  <si>
    <t xml:space="preserve">2024-03-29 16:48</t>
  </si>
  <si>
    <t xml:space="preserve">2024-03-29 17:27</t>
  </si>
  <si>
    <t xml:space="preserve">Admin</t>
  </si>
  <si>
    <t xml:space="preserve">PRC012</t>
  </si>
  <si>
    <t xml:space="preserve">Update</t>
  </si>
  <si>
    <t xml:space="preserve">2024-03-06 10:32</t>
  </si>
  <si>
    <t xml:space="preserve">2024-03-06 11:49</t>
  </si>
  <si>
    <t xml:space="preserve">PRC013</t>
  </si>
  <si>
    <t xml:space="preserve">Product Return</t>
  </si>
  <si>
    <t xml:space="preserve">2024-02-12 15:01</t>
  </si>
  <si>
    <t xml:space="preserve">2024-02-12 17:44</t>
  </si>
  <si>
    <t xml:space="preserve">Deepika Rao</t>
  </si>
  <si>
    <t xml:space="preserve">PRC014</t>
  </si>
  <si>
    <t xml:space="preserve">Audit</t>
  </si>
  <si>
    <t xml:space="preserve">2024-03-04 09:48</t>
  </si>
  <si>
    <t xml:space="preserve">2024-03-04 10:19</t>
  </si>
  <si>
    <t xml:space="preserve">Priya Nair</t>
  </si>
  <si>
    <t xml:space="preserve">PRC015</t>
  </si>
  <si>
    <t xml:space="preserve">Logistics</t>
  </si>
  <si>
    <t xml:space="preserve">2024-03-11 11:45</t>
  </si>
  <si>
    <t xml:space="preserve">2024-03-11 12:49</t>
  </si>
  <si>
    <t xml:space="preserve">PRC016</t>
  </si>
  <si>
    <t xml:space="preserve">2024-01-04 16:14</t>
  </si>
  <si>
    <t xml:space="preserve">2024-01-04 17:50</t>
  </si>
  <si>
    <t xml:space="preserve">PRC017</t>
  </si>
  <si>
    <t xml:space="preserve">2024-03-07 11:17</t>
  </si>
  <si>
    <t xml:space="preserve">2024-03-07 11:45</t>
  </si>
  <si>
    <t xml:space="preserve">PRC018</t>
  </si>
  <si>
    <t xml:space="preserve">2024-03-02 14:12</t>
  </si>
  <si>
    <t xml:space="preserve">2024-03-02 15:24</t>
  </si>
  <si>
    <t xml:space="preserve">PRC019</t>
  </si>
  <si>
    <t xml:space="preserve">HR Recruitment</t>
  </si>
  <si>
    <t xml:space="preserve">2024-02-22 13:06</t>
  </si>
  <si>
    <t xml:space="preserve">2024-02-22 13:31</t>
  </si>
  <si>
    <t xml:space="preserve">PRC020</t>
  </si>
  <si>
    <t xml:space="preserve">2024-02-02 09:28</t>
  </si>
  <si>
    <t xml:space="preserve">2024-02-02 11:36</t>
  </si>
  <si>
    <t xml:space="preserve">PRC021</t>
  </si>
  <si>
    <t xml:space="preserve">2024-01-23 14:31</t>
  </si>
  <si>
    <t xml:space="preserve">2024-01-23 15:41</t>
  </si>
  <si>
    <t xml:space="preserve">Anjali Sharma</t>
  </si>
  <si>
    <t xml:space="preserve">PRC022</t>
  </si>
  <si>
    <t xml:space="preserve">Dispatch</t>
  </si>
  <si>
    <t xml:space="preserve">2024-02-07 14:44</t>
  </si>
  <si>
    <t xml:space="preserve">2024-02-07 16:50</t>
  </si>
  <si>
    <t xml:space="preserve">PRC023</t>
  </si>
  <si>
    <t xml:space="preserve">2024-03-11 08:47</t>
  </si>
  <si>
    <t xml:space="preserve">2024-03-11 11:25</t>
  </si>
  <si>
    <t xml:space="preserve">PRC024</t>
  </si>
  <si>
    <t xml:space="preserve">2024-01-12 10:04</t>
  </si>
  <si>
    <t xml:space="preserve">2024-01-12 12:24</t>
  </si>
  <si>
    <t xml:space="preserve">PRC025</t>
  </si>
  <si>
    <t xml:space="preserve">2024-01-12 14:42</t>
  </si>
  <si>
    <t xml:space="preserve">2024-01-12 17:30</t>
  </si>
  <si>
    <t xml:space="preserve">PRC026</t>
  </si>
  <si>
    <t xml:space="preserve">2024-01-18 12:29</t>
  </si>
  <si>
    <t xml:space="preserve">2024-01-18 14:20</t>
  </si>
  <si>
    <t xml:space="preserve">PRC027</t>
  </si>
  <si>
    <t xml:space="preserve">2024-01-29 16:16</t>
  </si>
  <si>
    <t xml:space="preserve">2024-01-29 18:43</t>
  </si>
  <si>
    <t xml:space="preserve">PRC028</t>
  </si>
  <si>
    <t xml:space="preserve">2024-04-01 12:39</t>
  </si>
  <si>
    <t xml:space="preserve">2024-04-01 15:08</t>
  </si>
  <si>
    <t xml:space="preserve">PRC029</t>
  </si>
  <si>
    <t xml:space="preserve">2024-01-15 16:09</t>
  </si>
  <si>
    <t xml:space="preserve">2024-01-15 16:48</t>
  </si>
  <si>
    <t xml:space="preserve">PRC030</t>
  </si>
  <si>
    <t xml:space="preserve">2024-01-08 09:40</t>
  </si>
  <si>
    <t xml:space="preserve">2024-01-08 10:54</t>
  </si>
  <si>
    <t xml:space="preserve">PRC031</t>
  </si>
  <si>
    <t xml:space="preserve">2024-03-12 14:35</t>
  </si>
  <si>
    <t xml:space="preserve">2024-03-12 16:38</t>
  </si>
  <si>
    <t xml:space="preserve">PRC032</t>
  </si>
  <si>
    <t xml:space="preserve">2024-01-18 08:19</t>
  </si>
  <si>
    <t xml:space="preserve">2024-01-18 10:19</t>
  </si>
  <si>
    <t xml:space="preserve">PRC033</t>
  </si>
  <si>
    <t xml:space="preserve">2024-02-23 10:15</t>
  </si>
  <si>
    <t xml:space="preserve">2024-02-23 12:48</t>
  </si>
  <si>
    <t xml:space="preserve">PRC034</t>
  </si>
  <si>
    <t xml:space="preserve">2024-01-22 09:24</t>
  </si>
  <si>
    <t xml:space="preserve">2024-01-22 10:42</t>
  </si>
  <si>
    <t xml:space="preserve">PRC035</t>
  </si>
  <si>
    <t xml:space="preserve">2024-01-05 11:25</t>
  </si>
  <si>
    <t xml:space="preserve">2024-01-05 12:32</t>
  </si>
  <si>
    <t xml:space="preserve">PRC036</t>
  </si>
  <si>
    <t xml:space="preserve">2024-01-16 12:11</t>
  </si>
  <si>
    <t xml:space="preserve">2024-01-16 12:28</t>
  </si>
  <si>
    <t xml:space="preserve">PRC037</t>
  </si>
  <si>
    <t xml:space="preserve">Review</t>
  </si>
  <si>
    <t xml:space="preserve">2024-03-19 16:07</t>
  </si>
  <si>
    <t xml:space="preserve">2024-03-19 18:08</t>
  </si>
  <si>
    <t xml:space="preserve">PRC038</t>
  </si>
  <si>
    <t xml:space="preserve">2024-02-26 09:42</t>
  </si>
  <si>
    <t xml:space="preserve">2024-02-26 11:25</t>
  </si>
  <si>
    <t xml:space="preserve">PRC039</t>
  </si>
  <si>
    <t xml:space="preserve">2024-02-23 13:25</t>
  </si>
  <si>
    <t xml:space="preserve">2024-02-23 16:25</t>
  </si>
  <si>
    <t xml:space="preserve">PRC040</t>
  </si>
  <si>
    <t xml:space="preserve">2024-03-12 08:19</t>
  </si>
  <si>
    <t xml:space="preserve">2024-03-12 10:12</t>
  </si>
  <si>
    <t xml:space="preserve">PRC041</t>
  </si>
  <si>
    <t xml:space="preserve">2024-03-02 10:42</t>
  </si>
  <si>
    <t xml:space="preserve">2024-03-02 13:02</t>
  </si>
  <si>
    <t xml:space="preserve">PRC042</t>
  </si>
  <si>
    <t xml:space="preserve">2024-01-20 08:02</t>
  </si>
  <si>
    <t xml:space="preserve">2024-01-20 09:02</t>
  </si>
  <si>
    <t xml:space="preserve">PRC043</t>
  </si>
  <si>
    <t xml:space="preserve">2024-03-05 14:15</t>
  </si>
  <si>
    <t xml:space="preserve">2024-03-05 16:03</t>
  </si>
  <si>
    <t xml:space="preserve">PRC044</t>
  </si>
  <si>
    <t xml:space="preserve">2024-03-13 11:07</t>
  </si>
  <si>
    <t xml:space="preserve">2024-03-13 11:29</t>
  </si>
  <si>
    <t xml:space="preserve">PRC045</t>
  </si>
  <si>
    <t xml:space="preserve">2024-02-28 10:47</t>
  </si>
  <si>
    <t xml:space="preserve">2024-02-28 13:17</t>
  </si>
  <si>
    <t xml:space="preserve">PRC046</t>
  </si>
  <si>
    <t xml:space="preserve">2024-02-01 12:28</t>
  </si>
  <si>
    <t xml:space="preserve">2024-02-01 15:18</t>
  </si>
  <si>
    <t xml:space="preserve">PRC047</t>
  </si>
  <si>
    <t xml:space="preserve">2024-01-21 11:24</t>
  </si>
  <si>
    <t xml:space="preserve">2024-01-21 12:09</t>
  </si>
  <si>
    <t xml:space="preserve">PRC048</t>
  </si>
  <si>
    <t xml:space="preserve">2024-01-09 11:26</t>
  </si>
  <si>
    <t xml:space="preserve">2024-01-09 13:22</t>
  </si>
  <si>
    <t xml:space="preserve">PRC049</t>
  </si>
  <si>
    <t xml:space="preserve">2024-02-24 16:47</t>
  </si>
  <si>
    <t xml:space="preserve">2024-02-24 18:36</t>
  </si>
  <si>
    <t xml:space="preserve">PRC050</t>
  </si>
  <si>
    <t xml:space="preserve">2024-02-20 13:42</t>
  </si>
  <si>
    <t xml:space="preserve">2024-02-20 13:59</t>
  </si>
  <si>
    <t xml:space="preserve">KPI SUMMARY — Process Efficiency Metrics</t>
  </si>
  <si>
    <t xml:space="preserve">KPI</t>
  </si>
  <si>
    <t xml:space="preserve">Formula</t>
  </si>
  <si>
    <t xml:space="preserve">Value</t>
  </si>
  <si>
    <t xml:space="preserve">Insight</t>
  </si>
  <si>
    <t xml:space="preserve">Total Processes</t>
  </si>
  <si>
    <t xml:space="preserve">Total logged process steps</t>
  </si>
  <si>
    <t xml:space="preserve">Completed Processes</t>
  </si>
  <si>
    <t xml:space="preserve">Steps successfully completed</t>
  </si>
  <si>
    <t xml:space="preserve">Pending Processes</t>
  </si>
  <si>
    <t xml:space="preserve">Steps awaiting action</t>
  </si>
  <si>
    <t xml:space="preserve">Delayed Processes</t>
  </si>
  <si>
    <t xml:space="preserve">Steps past deadline</t>
  </si>
  <si>
    <t xml:space="preserve">Avg Duration (Mins)</t>
  </si>
  <si>
    <t xml:space="preserve">Average task duration</t>
  </si>
  <si>
    <t xml:space="preserve">Max Duration (Mins)</t>
  </si>
  <si>
    <t xml:space="preserve">Longest running step</t>
  </si>
  <si>
    <t xml:space="preserve">Min Duration (Mins)</t>
  </si>
  <si>
    <t xml:space="preserve">Fastest completed step</t>
  </si>
  <si>
    <t xml:space="preserve">Total Cost (INR)</t>
  </si>
  <si>
    <t xml:space="preserve">Total operational cost</t>
  </si>
  <si>
    <t xml:space="preserve">Avg Cost per Process (INR)</t>
  </si>
  <si>
    <t xml:space="preserve">Mean cost per step</t>
  </si>
  <si>
    <t xml:space="preserve">Completion Rate %</t>
  </si>
  <si>
    <t xml:space="preserve">% tasks completed</t>
  </si>
  <si>
    <t xml:space="preserve">Delay Rate %</t>
  </si>
  <si>
    <t xml:space="preserve">% tasks delayed</t>
  </si>
  <si>
    <t xml:space="preserve">High Priority Count</t>
  </si>
  <si>
    <t xml:space="preserve">High priority process steps</t>
  </si>
  <si>
    <t xml:space="preserve">DEPARTMENT-WISE COST &amp; EFFICIENCY SUMMARY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</si>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</sst>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₹#,##0"/>
    <numFmt numFmtId="167" formatCode="@"/>
    <numFmt numFmtId="168" formatCode="0.00%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n">
        <v>72</v>
      </c>
      <c r="H3" s="5" t="n">
        <v>1986.18</v>
      </c>
      <c r="I3" s="3" t="s">
        <v>19</v>
      </c>
      <c r="J3" s="3" t="s">
        <v>20</v>
      </c>
      <c r="K3" s="3" t="s">
        <v>21</v>
      </c>
      <c r="L3" s="3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 t="n">
        <v>69</v>
      </c>
      <c r="H4" s="5" t="n">
        <v>3383.15</v>
      </c>
      <c r="I4" s="3" t="s">
        <v>19</v>
      </c>
      <c r="J4" s="3" t="s">
        <v>29</v>
      </c>
      <c r="K4" s="3" t="s">
        <v>30</v>
      </c>
      <c r="L4" s="3" t="s">
        <v>31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4" t="n">
        <v>50</v>
      </c>
      <c r="H5" s="5" t="n">
        <v>4529.13</v>
      </c>
      <c r="I5" s="3" t="s">
        <v>38</v>
      </c>
      <c r="J5" s="3" t="s">
        <v>39</v>
      </c>
      <c r="K5" s="3" t="s">
        <v>40</v>
      </c>
      <c r="L5" s="3" t="s">
        <v>22</v>
      </c>
    </row>
    <row r="6" customFormat="false" ht="15" hidden="false" customHeight="false" outlineLevel="0" collapsed="false">
      <c r="A6" s="3" t="s">
        <v>41</v>
      </c>
      <c r="B6" s="3" t="s">
        <v>42</v>
      </c>
      <c r="C6" s="3" t="s">
        <v>25</v>
      </c>
      <c r="D6" s="3" t="s">
        <v>33</v>
      </c>
      <c r="E6" s="3" t="s">
        <v>43</v>
      </c>
      <c r="F6" s="3" t="s">
        <v>44</v>
      </c>
      <c r="G6" s="4" t="n">
        <v>98</v>
      </c>
      <c r="H6" s="5" t="n">
        <v>11081.11</v>
      </c>
      <c r="I6" s="3" t="s">
        <v>19</v>
      </c>
      <c r="J6" s="3" t="s">
        <v>20</v>
      </c>
      <c r="K6" s="3" t="s">
        <v>21</v>
      </c>
      <c r="L6" s="3" t="s">
        <v>22</v>
      </c>
    </row>
    <row r="7" customFormat="false" ht="15" hidden="false" customHeight="false" outlineLevel="0" collapsed="false">
      <c r="A7" s="3" t="s">
        <v>45</v>
      </c>
      <c r="B7" s="3" t="s">
        <v>46</v>
      </c>
      <c r="C7" s="3" t="s">
        <v>34</v>
      </c>
      <c r="D7" s="3" t="s">
        <v>33</v>
      </c>
      <c r="E7" s="3" t="s">
        <v>47</v>
      </c>
      <c r="F7" s="3" t="s">
        <v>48</v>
      </c>
      <c r="G7" s="4" t="n">
        <v>157</v>
      </c>
      <c r="H7" s="5" t="n">
        <v>10088.32</v>
      </c>
      <c r="I7" s="3" t="s">
        <v>38</v>
      </c>
      <c r="J7" s="3" t="s">
        <v>20</v>
      </c>
      <c r="K7" s="3" t="s">
        <v>30</v>
      </c>
      <c r="L7" s="3" t="s">
        <v>22</v>
      </c>
    </row>
    <row r="8" customFormat="false" ht="15" hidden="false" customHeight="false" outlineLevel="0" collapsed="false">
      <c r="A8" s="3" t="s">
        <v>49</v>
      </c>
      <c r="B8" s="3" t="s">
        <v>42</v>
      </c>
      <c r="C8" s="3" t="s">
        <v>34</v>
      </c>
      <c r="D8" s="3" t="s">
        <v>50</v>
      </c>
      <c r="E8" s="3" t="s">
        <v>51</v>
      </c>
      <c r="F8" s="3" t="s">
        <v>52</v>
      </c>
      <c r="G8" s="4" t="n">
        <v>172</v>
      </c>
      <c r="H8" s="5" t="n">
        <v>5651.43</v>
      </c>
      <c r="I8" s="3" t="s">
        <v>38</v>
      </c>
      <c r="J8" s="3" t="s">
        <v>20</v>
      </c>
      <c r="K8" s="3" t="s">
        <v>30</v>
      </c>
      <c r="L8" s="3" t="s">
        <v>53</v>
      </c>
    </row>
    <row r="9" customFormat="false" ht="15" hidden="false" customHeight="false" outlineLevel="0" collapsed="false">
      <c r="A9" s="3" t="s">
        <v>54</v>
      </c>
      <c r="B9" s="3" t="s">
        <v>55</v>
      </c>
      <c r="C9" s="3" t="s">
        <v>56</v>
      </c>
      <c r="D9" s="3" t="s">
        <v>50</v>
      </c>
      <c r="E9" s="3" t="s">
        <v>57</v>
      </c>
      <c r="F9" s="3" t="s">
        <v>58</v>
      </c>
      <c r="G9" s="4" t="n">
        <v>107</v>
      </c>
      <c r="H9" s="5" t="n">
        <v>10426.91</v>
      </c>
      <c r="I9" s="3" t="s">
        <v>38</v>
      </c>
      <c r="J9" s="3" t="s">
        <v>59</v>
      </c>
      <c r="K9" s="3" t="s">
        <v>40</v>
      </c>
      <c r="L9" s="3" t="s">
        <v>31</v>
      </c>
    </row>
    <row r="10" customFormat="false" ht="15" hidden="false" customHeight="false" outlineLevel="0" collapsed="false">
      <c r="A10" s="3" t="s">
        <v>60</v>
      </c>
      <c r="B10" s="3" t="s">
        <v>42</v>
      </c>
      <c r="C10" s="3" t="s">
        <v>34</v>
      </c>
      <c r="D10" s="3" t="s">
        <v>61</v>
      </c>
      <c r="E10" s="3" t="s">
        <v>62</v>
      </c>
      <c r="F10" s="3" t="s">
        <v>63</v>
      </c>
      <c r="G10" s="4" t="n">
        <v>64</v>
      </c>
      <c r="H10" s="5" t="n">
        <v>10003.86</v>
      </c>
      <c r="I10" s="3" t="s">
        <v>64</v>
      </c>
      <c r="J10" s="3" t="s">
        <v>65</v>
      </c>
      <c r="K10" s="3" t="s">
        <v>30</v>
      </c>
      <c r="L10" s="3" t="s">
        <v>31</v>
      </c>
    </row>
    <row r="11" customFormat="false" ht="15" hidden="false" customHeight="false" outlineLevel="0" collapsed="false">
      <c r="A11" s="3" t="s">
        <v>66</v>
      </c>
      <c r="B11" s="3" t="s">
        <v>67</v>
      </c>
      <c r="C11" s="3" t="s">
        <v>68</v>
      </c>
      <c r="D11" s="3" t="s">
        <v>16</v>
      </c>
      <c r="E11" s="3" t="s">
        <v>69</v>
      </c>
      <c r="F11" s="3" t="s">
        <v>70</v>
      </c>
      <c r="G11" s="4" t="n">
        <v>159</v>
      </c>
      <c r="H11" s="5" t="n">
        <v>3680.15</v>
      </c>
      <c r="I11" s="3" t="s">
        <v>38</v>
      </c>
      <c r="J11" s="3" t="s">
        <v>71</v>
      </c>
      <c r="K11" s="3" t="s">
        <v>21</v>
      </c>
      <c r="L11" s="3" t="s">
        <v>22</v>
      </c>
    </row>
    <row r="12" customFormat="false" ht="15" hidden="false" customHeight="false" outlineLevel="0" collapsed="false">
      <c r="A12" s="3" t="s">
        <v>72</v>
      </c>
      <c r="B12" s="3" t="s">
        <v>24</v>
      </c>
      <c r="C12" s="3" t="s">
        <v>25</v>
      </c>
      <c r="D12" s="3" t="s">
        <v>73</v>
      </c>
      <c r="E12" s="3" t="s">
        <v>74</v>
      </c>
      <c r="F12" s="3" t="s">
        <v>75</v>
      </c>
      <c r="G12" s="4" t="n">
        <v>170</v>
      </c>
      <c r="H12" s="5" t="n">
        <v>1421.15</v>
      </c>
      <c r="I12" s="3" t="s">
        <v>64</v>
      </c>
      <c r="J12" s="3" t="s">
        <v>76</v>
      </c>
      <c r="K12" s="3" t="s">
        <v>21</v>
      </c>
      <c r="L12" s="3" t="s">
        <v>53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79</v>
      </c>
      <c r="D13" s="3" t="s">
        <v>35</v>
      </c>
      <c r="E13" s="3" t="s">
        <v>80</v>
      </c>
      <c r="F13" s="3" t="s">
        <v>81</v>
      </c>
      <c r="G13" s="4" t="n">
        <v>39</v>
      </c>
      <c r="H13" s="5" t="n">
        <v>4368.97</v>
      </c>
      <c r="I13" s="3" t="s">
        <v>38</v>
      </c>
      <c r="J13" s="3" t="s">
        <v>20</v>
      </c>
      <c r="K13" s="3" t="s">
        <v>82</v>
      </c>
      <c r="L13" s="3" t="s">
        <v>31</v>
      </c>
    </row>
    <row r="14" customFormat="false" ht="15" hidden="false" customHeight="false" outlineLevel="0" collapsed="false">
      <c r="A14" s="3" t="s">
        <v>83</v>
      </c>
      <c r="B14" s="3" t="s">
        <v>67</v>
      </c>
      <c r="C14" s="3" t="s">
        <v>84</v>
      </c>
      <c r="D14" s="3" t="s">
        <v>35</v>
      </c>
      <c r="E14" s="3" t="s">
        <v>85</v>
      </c>
      <c r="F14" s="3" t="s">
        <v>86</v>
      </c>
      <c r="G14" s="4" t="n">
        <v>77</v>
      </c>
      <c r="H14" s="5" t="n">
        <v>13733.1</v>
      </c>
      <c r="I14" s="3" t="s">
        <v>38</v>
      </c>
      <c r="J14" s="3" t="s">
        <v>71</v>
      </c>
      <c r="K14" s="3" t="s">
        <v>30</v>
      </c>
      <c r="L14" s="3" t="s">
        <v>22</v>
      </c>
    </row>
    <row r="15" customFormat="false" ht="15" hidden="false" customHeight="false" outlineLevel="0" collapsed="false">
      <c r="A15" s="3" t="s">
        <v>87</v>
      </c>
      <c r="B15" s="3" t="s">
        <v>88</v>
      </c>
      <c r="C15" s="3" t="s">
        <v>56</v>
      </c>
      <c r="D15" s="3" t="s">
        <v>35</v>
      </c>
      <c r="E15" s="3" t="s">
        <v>89</v>
      </c>
      <c r="F15" s="3" t="s">
        <v>90</v>
      </c>
      <c r="G15" s="4" t="n">
        <v>163</v>
      </c>
      <c r="H15" s="5" t="n">
        <v>2122.08</v>
      </c>
      <c r="I15" s="3" t="s">
        <v>38</v>
      </c>
      <c r="J15" s="3" t="s">
        <v>91</v>
      </c>
      <c r="K15" s="3" t="s">
        <v>30</v>
      </c>
      <c r="L15" s="3" t="s">
        <v>22</v>
      </c>
    </row>
    <row r="16" customFormat="false" ht="15" hidden="false" customHeight="false" outlineLevel="0" collapsed="false">
      <c r="A16" s="3" t="s">
        <v>92</v>
      </c>
      <c r="B16" s="3" t="s">
        <v>55</v>
      </c>
      <c r="C16" s="3" t="s">
        <v>93</v>
      </c>
      <c r="D16" s="3" t="s">
        <v>61</v>
      </c>
      <c r="E16" s="3" t="s">
        <v>94</v>
      </c>
      <c r="F16" s="3" t="s">
        <v>95</v>
      </c>
      <c r="G16" s="4" t="n">
        <v>31</v>
      </c>
      <c r="H16" s="5" t="n">
        <v>8224.24</v>
      </c>
      <c r="I16" s="3" t="s">
        <v>38</v>
      </c>
      <c r="J16" s="3" t="s">
        <v>96</v>
      </c>
      <c r="K16" s="3" t="s">
        <v>21</v>
      </c>
      <c r="L16" s="3" t="s">
        <v>53</v>
      </c>
    </row>
    <row r="17" customFormat="false" ht="15" hidden="false" customHeight="false" outlineLevel="0" collapsed="false">
      <c r="A17" s="3" t="s">
        <v>97</v>
      </c>
      <c r="B17" s="3" t="s">
        <v>67</v>
      </c>
      <c r="C17" s="3" t="s">
        <v>34</v>
      </c>
      <c r="D17" s="3" t="s">
        <v>98</v>
      </c>
      <c r="E17" s="3" t="s">
        <v>99</v>
      </c>
      <c r="F17" s="3" t="s">
        <v>100</v>
      </c>
      <c r="G17" s="4" t="n">
        <v>64</v>
      </c>
      <c r="H17" s="5" t="n">
        <v>5019.89</v>
      </c>
      <c r="I17" s="3" t="s">
        <v>38</v>
      </c>
      <c r="J17" s="3" t="s">
        <v>65</v>
      </c>
      <c r="K17" s="3" t="s">
        <v>21</v>
      </c>
      <c r="L17" s="3" t="s">
        <v>22</v>
      </c>
    </row>
    <row r="18" customFormat="false" ht="15" hidden="false" customHeight="false" outlineLevel="0" collapsed="false">
      <c r="A18" s="3" t="s">
        <v>101</v>
      </c>
      <c r="B18" s="3" t="s">
        <v>55</v>
      </c>
      <c r="C18" s="3" t="s">
        <v>68</v>
      </c>
      <c r="D18" s="3" t="s">
        <v>61</v>
      </c>
      <c r="E18" s="3" t="s">
        <v>102</v>
      </c>
      <c r="F18" s="3" t="s">
        <v>103</v>
      </c>
      <c r="G18" s="4" t="n">
        <v>96</v>
      </c>
      <c r="H18" s="5" t="n">
        <v>9032.38</v>
      </c>
      <c r="I18" s="3" t="s">
        <v>38</v>
      </c>
      <c r="J18" s="3" t="s">
        <v>20</v>
      </c>
      <c r="K18" s="3" t="s">
        <v>40</v>
      </c>
      <c r="L18" s="3" t="s">
        <v>22</v>
      </c>
    </row>
    <row r="19" customFormat="false" ht="15" hidden="false" customHeight="false" outlineLevel="0" collapsed="false">
      <c r="A19" s="3" t="s">
        <v>104</v>
      </c>
      <c r="B19" s="3" t="s">
        <v>14</v>
      </c>
      <c r="C19" s="3" t="s">
        <v>15</v>
      </c>
      <c r="D19" s="3" t="s">
        <v>33</v>
      </c>
      <c r="E19" s="3" t="s">
        <v>105</v>
      </c>
      <c r="F19" s="3" t="s">
        <v>106</v>
      </c>
      <c r="G19" s="4" t="n">
        <v>28</v>
      </c>
      <c r="H19" s="5" t="n">
        <v>10200.18</v>
      </c>
      <c r="I19" s="3" t="s">
        <v>38</v>
      </c>
      <c r="J19" s="3" t="s">
        <v>71</v>
      </c>
      <c r="K19" s="3" t="s">
        <v>30</v>
      </c>
      <c r="L19" s="3" t="s">
        <v>53</v>
      </c>
    </row>
    <row r="20" customFormat="false" ht="15" hidden="false" customHeight="false" outlineLevel="0" collapsed="false">
      <c r="A20" s="3" t="s">
        <v>107</v>
      </c>
      <c r="B20" s="3" t="s">
        <v>33</v>
      </c>
      <c r="C20" s="3" t="s">
        <v>93</v>
      </c>
      <c r="D20" s="3" t="s">
        <v>50</v>
      </c>
      <c r="E20" s="3" t="s">
        <v>108</v>
      </c>
      <c r="F20" s="3" t="s">
        <v>109</v>
      </c>
      <c r="G20" s="4" t="n">
        <v>72</v>
      </c>
      <c r="H20" s="5" t="n">
        <v>1867.72</v>
      </c>
      <c r="I20" s="3" t="s">
        <v>64</v>
      </c>
      <c r="J20" s="3" t="s">
        <v>39</v>
      </c>
      <c r="K20" s="3" t="s">
        <v>21</v>
      </c>
      <c r="L20" s="3" t="s">
        <v>31</v>
      </c>
    </row>
    <row r="21" customFormat="false" ht="15" hidden="false" customHeight="false" outlineLevel="0" collapsed="false">
      <c r="A21" s="3" t="s">
        <v>110</v>
      </c>
      <c r="B21" s="3" t="s">
        <v>111</v>
      </c>
      <c r="C21" s="3" t="s">
        <v>15</v>
      </c>
      <c r="D21" s="3" t="s">
        <v>61</v>
      </c>
      <c r="E21" s="3" t="s">
        <v>112</v>
      </c>
      <c r="F21" s="3" t="s">
        <v>113</v>
      </c>
      <c r="G21" s="4" t="n">
        <v>25</v>
      </c>
      <c r="H21" s="5" t="n">
        <v>4105.52</v>
      </c>
      <c r="I21" s="3" t="s">
        <v>38</v>
      </c>
      <c r="J21" s="3" t="s">
        <v>71</v>
      </c>
      <c r="K21" s="3" t="s">
        <v>21</v>
      </c>
      <c r="L21" s="3" t="s">
        <v>22</v>
      </c>
    </row>
    <row r="22" customFormat="false" ht="15" hidden="false" customHeight="false" outlineLevel="0" collapsed="false">
      <c r="A22" s="3" t="s">
        <v>114</v>
      </c>
      <c r="B22" s="3" t="s">
        <v>42</v>
      </c>
      <c r="C22" s="3" t="s">
        <v>56</v>
      </c>
      <c r="D22" s="3" t="s">
        <v>16</v>
      </c>
      <c r="E22" s="3" t="s">
        <v>115</v>
      </c>
      <c r="F22" s="3" t="s">
        <v>116</v>
      </c>
      <c r="G22" s="4" t="n">
        <v>128</v>
      </c>
      <c r="H22" s="5" t="n">
        <v>12216.32</v>
      </c>
      <c r="I22" s="3" t="s">
        <v>19</v>
      </c>
      <c r="J22" s="3" t="s">
        <v>20</v>
      </c>
      <c r="K22" s="3" t="s">
        <v>40</v>
      </c>
      <c r="L22" s="3" t="s">
        <v>53</v>
      </c>
    </row>
    <row r="23" customFormat="false" ht="15" hidden="false" customHeight="false" outlineLevel="0" collapsed="false">
      <c r="A23" s="3" t="s">
        <v>117</v>
      </c>
      <c r="B23" s="3" t="s">
        <v>46</v>
      </c>
      <c r="C23" s="3" t="s">
        <v>15</v>
      </c>
      <c r="D23" s="3" t="s">
        <v>61</v>
      </c>
      <c r="E23" s="3" t="s">
        <v>118</v>
      </c>
      <c r="F23" s="3" t="s">
        <v>119</v>
      </c>
      <c r="G23" s="4" t="n">
        <v>70</v>
      </c>
      <c r="H23" s="5" t="n">
        <v>7479.7</v>
      </c>
      <c r="I23" s="3" t="s">
        <v>64</v>
      </c>
      <c r="J23" s="3" t="s">
        <v>120</v>
      </c>
      <c r="K23" s="3" t="s">
        <v>30</v>
      </c>
      <c r="L23" s="3" t="s">
        <v>31</v>
      </c>
    </row>
    <row r="24" customFormat="false" ht="15" hidden="false" customHeight="false" outlineLevel="0" collapsed="false">
      <c r="A24" s="3" t="s">
        <v>121</v>
      </c>
      <c r="B24" s="3" t="s">
        <v>24</v>
      </c>
      <c r="C24" s="3" t="s">
        <v>122</v>
      </c>
      <c r="D24" s="3" t="s">
        <v>16</v>
      </c>
      <c r="E24" s="3" t="s">
        <v>123</v>
      </c>
      <c r="F24" s="3" t="s">
        <v>124</v>
      </c>
      <c r="G24" s="4" t="n">
        <v>126</v>
      </c>
      <c r="H24" s="5" t="n">
        <v>14381.11</v>
      </c>
      <c r="I24" s="3" t="s">
        <v>19</v>
      </c>
      <c r="J24" s="3" t="s">
        <v>65</v>
      </c>
      <c r="K24" s="3" t="s">
        <v>30</v>
      </c>
      <c r="L24" s="3" t="s">
        <v>22</v>
      </c>
    </row>
    <row r="25" customFormat="false" ht="15" hidden="false" customHeight="false" outlineLevel="0" collapsed="false">
      <c r="A25" s="3" t="s">
        <v>125</v>
      </c>
      <c r="B25" s="3" t="s">
        <v>78</v>
      </c>
      <c r="C25" s="3" t="s">
        <v>68</v>
      </c>
      <c r="D25" s="3" t="s">
        <v>35</v>
      </c>
      <c r="E25" s="3" t="s">
        <v>126</v>
      </c>
      <c r="F25" s="3" t="s">
        <v>127</v>
      </c>
      <c r="G25" s="4" t="n">
        <v>158</v>
      </c>
      <c r="H25" s="5" t="n">
        <v>5047.27</v>
      </c>
      <c r="I25" s="3" t="s">
        <v>38</v>
      </c>
      <c r="J25" s="3" t="s">
        <v>76</v>
      </c>
      <c r="K25" s="3" t="s">
        <v>21</v>
      </c>
      <c r="L25" s="3" t="s">
        <v>53</v>
      </c>
    </row>
    <row r="26" customFormat="false" ht="15" hidden="false" customHeight="false" outlineLevel="0" collapsed="false">
      <c r="A26" s="3" t="s">
        <v>128</v>
      </c>
      <c r="B26" s="3" t="s">
        <v>46</v>
      </c>
      <c r="C26" s="3" t="s">
        <v>56</v>
      </c>
      <c r="D26" s="3" t="s">
        <v>35</v>
      </c>
      <c r="E26" s="3" t="s">
        <v>129</v>
      </c>
      <c r="F26" s="3" t="s">
        <v>130</v>
      </c>
      <c r="G26" s="4" t="n">
        <v>140</v>
      </c>
      <c r="H26" s="5" t="n">
        <v>9128.01</v>
      </c>
      <c r="I26" s="3" t="s">
        <v>38</v>
      </c>
      <c r="J26" s="3" t="s">
        <v>29</v>
      </c>
      <c r="K26" s="3" t="s">
        <v>40</v>
      </c>
      <c r="L26" s="3" t="s">
        <v>53</v>
      </c>
    </row>
    <row r="27" customFormat="false" ht="15" hidden="false" customHeight="false" outlineLevel="0" collapsed="false">
      <c r="A27" s="3" t="s">
        <v>131</v>
      </c>
      <c r="B27" s="3" t="s">
        <v>55</v>
      </c>
      <c r="C27" s="3" t="s">
        <v>93</v>
      </c>
      <c r="D27" s="3" t="s">
        <v>35</v>
      </c>
      <c r="E27" s="3" t="s">
        <v>132</v>
      </c>
      <c r="F27" s="3" t="s">
        <v>133</v>
      </c>
      <c r="G27" s="4" t="n">
        <v>168</v>
      </c>
      <c r="H27" s="5" t="n">
        <v>8963.25</v>
      </c>
      <c r="I27" s="3" t="s">
        <v>19</v>
      </c>
      <c r="J27" s="3" t="s">
        <v>39</v>
      </c>
      <c r="K27" s="3" t="s">
        <v>82</v>
      </c>
      <c r="L27" s="3" t="s">
        <v>22</v>
      </c>
    </row>
    <row r="28" customFormat="false" ht="15" hidden="false" customHeight="false" outlineLevel="0" collapsed="false">
      <c r="A28" s="3" t="s">
        <v>134</v>
      </c>
      <c r="B28" s="3" t="s">
        <v>88</v>
      </c>
      <c r="C28" s="3" t="s">
        <v>68</v>
      </c>
      <c r="D28" s="3" t="s">
        <v>16</v>
      </c>
      <c r="E28" s="3" t="s">
        <v>135</v>
      </c>
      <c r="F28" s="3" t="s">
        <v>136</v>
      </c>
      <c r="G28" s="4" t="n">
        <v>111</v>
      </c>
      <c r="H28" s="5" t="n">
        <v>5084.57</v>
      </c>
      <c r="I28" s="3" t="s">
        <v>38</v>
      </c>
      <c r="J28" s="3" t="s">
        <v>120</v>
      </c>
      <c r="K28" s="3" t="s">
        <v>21</v>
      </c>
      <c r="L28" s="3" t="s">
        <v>53</v>
      </c>
    </row>
    <row r="29" customFormat="false" ht="15" hidden="false" customHeight="false" outlineLevel="0" collapsed="false">
      <c r="A29" s="3" t="s">
        <v>137</v>
      </c>
      <c r="B29" s="3" t="s">
        <v>33</v>
      </c>
      <c r="C29" s="3" t="s">
        <v>25</v>
      </c>
      <c r="D29" s="3" t="s">
        <v>61</v>
      </c>
      <c r="E29" s="3" t="s">
        <v>138</v>
      </c>
      <c r="F29" s="3" t="s">
        <v>139</v>
      </c>
      <c r="G29" s="4" t="n">
        <v>147</v>
      </c>
      <c r="H29" s="5" t="n">
        <v>2420.62</v>
      </c>
      <c r="I29" s="3" t="s">
        <v>38</v>
      </c>
      <c r="J29" s="3" t="s">
        <v>20</v>
      </c>
      <c r="K29" s="3" t="s">
        <v>30</v>
      </c>
      <c r="L29" s="3" t="s">
        <v>31</v>
      </c>
    </row>
    <row r="30" customFormat="false" ht="15" hidden="false" customHeight="false" outlineLevel="0" collapsed="false">
      <c r="A30" s="3" t="s">
        <v>140</v>
      </c>
      <c r="B30" s="3" t="s">
        <v>78</v>
      </c>
      <c r="C30" s="3" t="s">
        <v>56</v>
      </c>
      <c r="D30" s="3" t="s">
        <v>50</v>
      </c>
      <c r="E30" s="3" t="s">
        <v>141</v>
      </c>
      <c r="F30" s="3" t="s">
        <v>142</v>
      </c>
      <c r="G30" s="4" t="n">
        <v>149</v>
      </c>
      <c r="H30" s="5" t="n">
        <v>14765.87</v>
      </c>
      <c r="I30" s="3" t="s">
        <v>19</v>
      </c>
      <c r="J30" s="3" t="s">
        <v>120</v>
      </c>
      <c r="K30" s="3" t="s">
        <v>82</v>
      </c>
      <c r="L30" s="3" t="s">
        <v>53</v>
      </c>
    </row>
    <row r="31" customFormat="false" ht="15" hidden="false" customHeight="false" outlineLevel="0" collapsed="false">
      <c r="A31" s="3" t="s">
        <v>143</v>
      </c>
      <c r="B31" s="3" t="s">
        <v>14</v>
      </c>
      <c r="C31" s="3" t="s">
        <v>56</v>
      </c>
      <c r="D31" s="3" t="s">
        <v>16</v>
      </c>
      <c r="E31" s="3" t="s">
        <v>144</v>
      </c>
      <c r="F31" s="3" t="s">
        <v>145</v>
      </c>
      <c r="G31" s="4" t="n">
        <v>39</v>
      </c>
      <c r="H31" s="5" t="n">
        <v>4449.05</v>
      </c>
      <c r="I31" s="3" t="s">
        <v>19</v>
      </c>
      <c r="J31" s="3" t="s">
        <v>59</v>
      </c>
      <c r="K31" s="3" t="s">
        <v>82</v>
      </c>
      <c r="L31" s="3" t="s">
        <v>22</v>
      </c>
    </row>
    <row r="32" customFormat="false" ht="15" hidden="false" customHeight="false" outlineLevel="0" collapsed="false">
      <c r="A32" s="3" t="s">
        <v>146</v>
      </c>
      <c r="B32" s="3" t="s">
        <v>78</v>
      </c>
      <c r="C32" s="3" t="s">
        <v>79</v>
      </c>
      <c r="D32" s="3" t="s">
        <v>50</v>
      </c>
      <c r="E32" s="3" t="s">
        <v>147</v>
      </c>
      <c r="F32" s="3" t="s">
        <v>148</v>
      </c>
      <c r="G32" s="4" t="n">
        <v>74</v>
      </c>
      <c r="H32" s="5" t="n">
        <v>6641.85</v>
      </c>
      <c r="I32" s="3" t="s">
        <v>38</v>
      </c>
      <c r="J32" s="3" t="s">
        <v>120</v>
      </c>
      <c r="K32" s="3" t="s">
        <v>40</v>
      </c>
      <c r="L32" s="3" t="s">
        <v>31</v>
      </c>
    </row>
    <row r="33" customFormat="false" ht="15" hidden="false" customHeight="false" outlineLevel="0" collapsed="false">
      <c r="A33" s="3" t="s">
        <v>149</v>
      </c>
      <c r="B33" s="3" t="s">
        <v>67</v>
      </c>
      <c r="C33" s="3" t="s">
        <v>34</v>
      </c>
      <c r="D33" s="3" t="s">
        <v>73</v>
      </c>
      <c r="E33" s="3" t="s">
        <v>150</v>
      </c>
      <c r="F33" s="3" t="s">
        <v>151</v>
      </c>
      <c r="G33" s="4" t="n">
        <v>123</v>
      </c>
      <c r="H33" s="5" t="n">
        <v>640.21</v>
      </c>
      <c r="I33" s="3" t="s">
        <v>38</v>
      </c>
      <c r="J33" s="3" t="s">
        <v>96</v>
      </c>
      <c r="K33" s="3" t="s">
        <v>40</v>
      </c>
      <c r="L33" s="3" t="s">
        <v>31</v>
      </c>
    </row>
    <row r="34" customFormat="false" ht="15" hidden="false" customHeight="false" outlineLevel="0" collapsed="false">
      <c r="A34" s="3" t="s">
        <v>152</v>
      </c>
      <c r="B34" s="3" t="s">
        <v>33</v>
      </c>
      <c r="C34" s="3" t="s">
        <v>79</v>
      </c>
      <c r="D34" s="3" t="s">
        <v>73</v>
      </c>
      <c r="E34" s="3" t="s">
        <v>153</v>
      </c>
      <c r="F34" s="3" t="s">
        <v>154</v>
      </c>
      <c r="G34" s="4" t="n">
        <v>120</v>
      </c>
      <c r="H34" s="5" t="n">
        <v>5787.45</v>
      </c>
      <c r="I34" s="3" t="s">
        <v>38</v>
      </c>
      <c r="J34" s="3" t="s">
        <v>39</v>
      </c>
      <c r="K34" s="3" t="s">
        <v>30</v>
      </c>
      <c r="L34" s="3" t="s">
        <v>53</v>
      </c>
    </row>
    <row r="35" customFormat="false" ht="15" hidden="false" customHeight="false" outlineLevel="0" collapsed="false">
      <c r="A35" s="3" t="s">
        <v>155</v>
      </c>
      <c r="B35" s="3" t="s">
        <v>55</v>
      </c>
      <c r="C35" s="3" t="s">
        <v>25</v>
      </c>
      <c r="D35" s="3" t="s">
        <v>33</v>
      </c>
      <c r="E35" s="3" t="s">
        <v>156</v>
      </c>
      <c r="F35" s="3" t="s">
        <v>157</v>
      </c>
      <c r="G35" s="4" t="n">
        <v>153</v>
      </c>
      <c r="H35" s="5" t="n">
        <v>13036.78</v>
      </c>
      <c r="I35" s="3" t="s">
        <v>38</v>
      </c>
      <c r="J35" s="3" t="s">
        <v>29</v>
      </c>
      <c r="K35" s="3" t="s">
        <v>40</v>
      </c>
      <c r="L35" s="3" t="s">
        <v>22</v>
      </c>
    </row>
    <row r="36" customFormat="false" ht="15" hidden="false" customHeight="false" outlineLevel="0" collapsed="false">
      <c r="A36" s="3" t="s">
        <v>158</v>
      </c>
      <c r="B36" s="3" t="s">
        <v>88</v>
      </c>
      <c r="C36" s="3" t="s">
        <v>122</v>
      </c>
      <c r="D36" s="3" t="s">
        <v>26</v>
      </c>
      <c r="E36" s="3" t="s">
        <v>159</v>
      </c>
      <c r="F36" s="3" t="s">
        <v>160</v>
      </c>
      <c r="G36" s="4" t="n">
        <v>78</v>
      </c>
      <c r="H36" s="5" t="n">
        <v>13146.42</v>
      </c>
      <c r="I36" s="3" t="s">
        <v>64</v>
      </c>
      <c r="J36" s="3" t="s">
        <v>59</v>
      </c>
      <c r="K36" s="3" t="s">
        <v>30</v>
      </c>
      <c r="L36" s="3" t="s">
        <v>31</v>
      </c>
    </row>
    <row r="37" customFormat="false" ht="15" hidden="false" customHeight="false" outlineLevel="0" collapsed="false">
      <c r="A37" s="3" t="s">
        <v>161</v>
      </c>
      <c r="B37" s="3" t="s">
        <v>88</v>
      </c>
      <c r="C37" s="3" t="s">
        <v>34</v>
      </c>
      <c r="D37" s="3" t="s">
        <v>26</v>
      </c>
      <c r="E37" s="3" t="s">
        <v>162</v>
      </c>
      <c r="F37" s="3" t="s">
        <v>163</v>
      </c>
      <c r="G37" s="4" t="n">
        <v>67</v>
      </c>
      <c r="H37" s="5" t="n">
        <v>5259.8</v>
      </c>
      <c r="I37" s="3" t="s">
        <v>38</v>
      </c>
      <c r="J37" s="3" t="s">
        <v>91</v>
      </c>
      <c r="K37" s="3" t="s">
        <v>82</v>
      </c>
      <c r="L37" s="3" t="s">
        <v>53</v>
      </c>
    </row>
    <row r="38" customFormat="false" ht="15" hidden="false" customHeight="false" outlineLevel="0" collapsed="false">
      <c r="A38" s="3" t="s">
        <v>164</v>
      </c>
      <c r="B38" s="3" t="s">
        <v>46</v>
      </c>
      <c r="C38" s="3" t="s">
        <v>122</v>
      </c>
      <c r="D38" s="3" t="s">
        <v>33</v>
      </c>
      <c r="E38" s="3" t="s">
        <v>165</v>
      </c>
      <c r="F38" s="3" t="s">
        <v>166</v>
      </c>
      <c r="G38" s="4" t="n">
        <v>17</v>
      </c>
      <c r="H38" s="5" t="n">
        <v>8918.55</v>
      </c>
      <c r="I38" s="3" t="s">
        <v>38</v>
      </c>
      <c r="J38" s="3" t="s">
        <v>120</v>
      </c>
      <c r="K38" s="3" t="s">
        <v>40</v>
      </c>
      <c r="L38" s="3" t="s">
        <v>53</v>
      </c>
    </row>
    <row r="39" customFormat="false" ht="15" hidden="false" customHeight="false" outlineLevel="0" collapsed="false">
      <c r="A39" s="3" t="s">
        <v>167</v>
      </c>
      <c r="B39" s="3" t="s">
        <v>42</v>
      </c>
      <c r="C39" s="3" t="s">
        <v>168</v>
      </c>
      <c r="D39" s="3" t="s">
        <v>33</v>
      </c>
      <c r="E39" s="3" t="s">
        <v>169</v>
      </c>
      <c r="F39" s="3" t="s">
        <v>170</v>
      </c>
      <c r="G39" s="4" t="n">
        <v>121</v>
      </c>
      <c r="H39" s="5" t="n">
        <v>6085.33</v>
      </c>
      <c r="I39" s="3" t="s">
        <v>19</v>
      </c>
      <c r="J39" s="3" t="s">
        <v>59</v>
      </c>
      <c r="K39" s="3" t="s">
        <v>82</v>
      </c>
      <c r="L39" s="3" t="s">
        <v>22</v>
      </c>
    </row>
    <row r="40" customFormat="false" ht="15" hidden="false" customHeight="false" outlineLevel="0" collapsed="false">
      <c r="A40" s="3" t="s">
        <v>171</v>
      </c>
      <c r="B40" s="3" t="s">
        <v>42</v>
      </c>
      <c r="C40" s="3" t="s">
        <v>15</v>
      </c>
      <c r="D40" s="3" t="s">
        <v>26</v>
      </c>
      <c r="E40" s="3" t="s">
        <v>172</v>
      </c>
      <c r="F40" s="3" t="s">
        <v>173</v>
      </c>
      <c r="G40" s="4" t="n">
        <v>103</v>
      </c>
      <c r="H40" s="5" t="n">
        <v>13851.18</v>
      </c>
      <c r="I40" s="3" t="s">
        <v>19</v>
      </c>
      <c r="J40" s="3" t="s">
        <v>39</v>
      </c>
      <c r="K40" s="3" t="s">
        <v>40</v>
      </c>
      <c r="L40" s="3" t="s">
        <v>53</v>
      </c>
    </row>
    <row r="41" customFormat="false" ht="15" hidden="false" customHeight="false" outlineLevel="0" collapsed="false">
      <c r="A41" s="3" t="s">
        <v>174</v>
      </c>
      <c r="B41" s="3" t="s">
        <v>78</v>
      </c>
      <c r="C41" s="3" t="s">
        <v>79</v>
      </c>
      <c r="D41" s="3" t="s">
        <v>16</v>
      </c>
      <c r="E41" s="3" t="s">
        <v>175</v>
      </c>
      <c r="F41" s="3" t="s">
        <v>176</v>
      </c>
      <c r="G41" s="4" t="n">
        <v>180</v>
      </c>
      <c r="H41" s="5" t="n">
        <v>10609.52</v>
      </c>
      <c r="I41" s="3" t="s">
        <v>19</v>
      </c>
      <c r="J41" s="3" t="s">
        <v>96</v>
      </c>
      <c r="K41" s="3" t="s">
        <v>30</v>
      </c>
      <c r="L41" s="3" t="s">
        <v>31</v>
      </c>
    </row>
    <row r="42" customFormat="false" ht="15" hidden="false" customHeight="false" outlineLevel="0" collapsed="false">
      <c r="A42" s="3" t="s">
        <v>177</v>
      </c>
      <c r="B42" s="3" t="s">
        <v>42</v>
      </c>
      <c r="C42" s="3" t="s">
        <v>56</v>
      </c>
      <c r="D42" s="3" t="s">
        <v>16</v>
      </c>
      <c r="E42" s="3" t="s">
        <v>178</v>
      </c>
      <c r="F42" s="3" t="s">
        <v>179</v>
      </c>
      <c r="G42" s="4" t="n">
        <v>113</v>
      </c>
      <c r="H42" s="5" t="n">
        <v>4660.25</v>
      </c>
      <c r="I42" s="3" t="s">
        <v>64</v>
      </c>
      <c r="J42" s="3" t="s">
        <v>76</v>
      </c>
      <c r="K42" s="3" t="s">
        <v>82</v>
      </c>
      <c r="L42" s="3" t="s">
        <v>31</v>
      </c>
    </row>
    <row r="43" customFormat="false" ht="15" hidden="false" customHeight="false" outlineLevel="0" collapsed="false">
      <c r="A43" s="3" t="s">
        <v>180</v>
      </c>
      <c r="B43" s="3" t="s">
        <v>111</v>
      </c>
      <c r="C43" s="3" t="s">
        <v>84</v>
      </c>
      <c r="D43" s="3" t="s">
        <v>26</v>
      </c>
      <c r="E43" s="3" t="s">
        <v>181</v>
      </c>
      <c r="F43" s="3" t="s">
        <v>182</v>
      </c>
      <c r="G43" s="4" t="n">
        <v>140</v>
      </c>
      <c r="H43" s="5" t="n">
        <v>1729.54</v>
      </c>
      <c r="I43" s="3" t="s">
        <v>19</v>
      </c>
      <c r="J43" s="3" t="s">
        <v>76</v>
      </c>
      <c r="K43" s="3" t="s">
        <v>82</v>
      </c>
      <c r="L43" s="3" t="s">
        <v>22</v>
      </c>
    </row>
    <row r="44" customFormat="false" ht="15" hidden="false" customHeight="false" outlineLevel="0" collapsed="false">
      <c r="A44" s="3" t="s">
        <v>183</v>
      </c>
      <c r="B44" s="3" t="s">
        <v>55</v>
      </c>
      <c r="C44" s="3" t="s">
        <v>34</v>
      </c>
      <c r="D44" s="3" t="s">
        <v>26</v>
      </c>
      <c r="E44" s="3" t="s">
        <v>184</v>
      </c>
      <c r="F44" s="3" t="s">
        <v>185</v>
      </c>
      <c r="G44" s="4" t="n">
        <v>60</v>
      </c>
      <c r="H44" s="5" t="n">
        <v>4050.22</v>
      </c>
      <c r="I44" s="3" t="s">
        <v>64</v>
      </c>
      <c r="J44" s="3" t="s">
        <v>76</v>
      </c>
      <c r="K44" s="3" t="s">
        <v>40</v>
      </c>
      <c r="L44" s="3" t="s">
        <v>31</v>
      </c>
    </row>
    <row r="45" customFormat="false" ht="15" hidden="false" customHeight="false" outlineLevel="0" collapsed="false">
      <c r="A45" s="3" t="s">
        <v>186</v>
      </c>
      <c r="B45" s="3" t="s">
        <v>42</v>
      </c>
      <c r="C45" s="3" t="s">
        <v>93</v>
      </c>
      <c r="D45" s="3" t="s">
        <v>26</v>
      </c>
      <c r="E45" s="3" t="s">
        <v>187</v>
      </c>
      <c r="F45" s="3" t="s">
        <v>188</v>
      </c>
      <c r="G45" s="4" t="n">
        <v>108</v>
      </c>
      <c r="H45" s="5" t="n">
        <v>2639.78</v>
      </c>
      <c r="I45" s="3" t="s">
        <v>38</v>
      </c>
      <c r="J45" s="3" t="s">
        <v>20</v>
      </c>
      <c r="K45" s="3" t="s">
        <v>21</v>
      </c>
      <c r="L45" s="3" t="s">
        <v>22</v>
      </c>
    </row>
    <row r="46" customFormat="false" ht="15" hidden="false" customHeight="false" outlineLevel="0" collapsed="false">
      <c r="A46" s="3" t="s">
        <v>189</v>
      </c>
      <c r="B46" s="3" t="s">
        <v>67</v>
      </c>
      <c r="C46" s="3" t="s">
        <v>79</v>
      </c>
      <c r="D46" s="3" t="s">
        <v>50</v>
      </c>
      <c r="E46" s="3" t="s">
        <v>190</v>
      </c>
      <c r="F46" s="3" t="s">
        <v>191</v>
      </c>
      <c r="G46" s="4" t="n">
        <v>22</v>
      </c>
      <c r="H46" s="5" t="n">
        <v>7118.7</v>
      </c>
      <c r="I46" s="3" t="s">
        <v>64</v>
      </c>
      <c r="J46" s="3" t="s">
        <v>71</v>
      </c>
      <c r="K46" s="3" t="s">
        <v>82</v>
      </c>
      <c r="L46" s="3" t="s">
        <v>31</v>
      </c>
    </row>
    <row r="47" customFormat="false" ht="15" hidden="false" customHeight="false" outlineLevel="0" collapsed="false">
      <c r="A47" s="3" t="s">
        <v>192</v>
      </c>
      <c r="B47" s="3" t="s">
        <v>33</v>
      </c>
      <c r="C47" s="3" t="s">
        <v>79</v>
      </c>
      <c r="D47" s="3" t="s">
        <v>98</v>
      </c>
      <c r="E47" s="3" t="s">
        <v>193</v>
      </c>
      <c r="F47" s="3" t="s">
        <v>194</v>
      </c>
      <c r="G47" s="4" t="n">
        <v>150</v>
      </c>
      <c r="H47" s="5" t="n">
        <v>12991.68</v>
      </c>
      <c r="I47" s="3" t="s">
        <v>64</v>
      </c>
      <c r="J47" s="3" t="s">
        <v>91</v>
      </c>
      <c r="K47" s="3" t="s">
        <v>30</v>
      </c>
      <c r="L47" s="3" t="s">
        <v>53</v>
      </c>
    </row>
    <row r="48" customFormat="false" ht="15" hidden="false" customHeight="false" outlineLevel="0" collapsed="false">
      <c r="A48" s="3" t="s">
        <v>195</v>
      </c>
      <c r="B48" s="3" t="s">
        <v>78</v>
      </c>
      <c r="C48" s="3" t="s">
        <v>79</v>
      </c>
      <c r="D48" s="3" t="s">
        <v>50</v>
      </c>
      <c r="E48" s="3" t="s">
        <v>196</v>
      </c>
      <c r="F48" s="3" t="s">
        <v>197</v>
      </c>
      <c r="G48" s="4" t="n">
        <v>170</v>
      </c>
      <c r="H48" s="5" t="n">
        <v>1623.51</v>
      </c>
      <c r="I48" s="3" t="s">
        <v>38</v>
      </c>
      <c r="J48" s="3" t="s">
        <v>59</v>
      </c>
      <c r="K48" s="3" t="s">
        <v>82</v>
      </c>
      <c r="L48" s="3" t="s">
        <v>31</v>
      </c>
    </row>
    <row r="49" customFormat="false" ht="15" hidden="false" customHeight="false" outlineLevel="0" collapsed="false">
      <c r="A49" s="3" t="s">
        <v>198</v>
      </c>
      <c r="B49" s="3" t="s">
        <v>88</v>
      </c>
      <c r="C49" s="3" t="s">
        <v>79</v>
      </c>
      <c r="D49" s="3" t="s">
        <v>61</v>
      </c>
      <c r="E49" s="3" t="s">
        <v>199</v>
      </c>
      <c r="F49" s="3" t="s">
        <v>200</v>
      </c>
      <c r="G49" s="4" t="n">
        <v>45</v>
      </c>
      <c r="H49" s="5" t="n">
        <v>10562.27</v>
      </c>
      <c r="I49" s="3" t="s">
        <v>38</v>
      </c>
      <c r="J49" s="3" t="s">
        <v>20</v>
      </c>
      <c r="K49" s="3" t="s">
        <v>21</v>
      </c>
      <c r="L49" s="3" t="s">
        <v>31</v>
      </c>
    </row>
    <row r="50" customFormat="false" ht="15" hidden="false" customHeight="false" outlineLevel="0" collapsed="false">
      <c r="A50" s="3" t="s">
        <v>201</v>
      </c>
      <c r="B50" s="3" t="s">
        <v>88</v>
      </c>
      <c r="C50" s="3" t="s">
        <v>79</v>
      </c>
      <c r="D50" s="3" t="s">
        <v>50</v>
      </c>
      <c r="E50" s="3" t="s">
        <v>202</v>
      </c>
      <c r="F50" s="3" t="s">
        <v>203</v>
      </c>
      <c r="G50" s="4" t="n">
        <v>116</v>
      </c>
      <c r="H50" s="5" t="n">
        <v>6147.41</v>
      </c>
      <c r="I50" s="3" t="s">
        <v>19</v>
      </c>
      <c r="J50" s="3" t="s">
        <v>120</v>
      </c>
      <c r="K50" s="3" t="s">
        <v>21</v>
      </c>
      <c r="L50" s="3" t="s">
        <v>31</v>
      </c>
    </row>
    <row r="51" customFormat="false" ht="15" hidden="false" customHeight="false" outlineLevel="0" collapsed="false">
      <c r="A51" s="3" t="s">
        <v>204</v>
      </c>
      <c r="B51" s="3" t="s">
        <v>24</v>
      </c>
      <c r="C51" s="3" t="s">
        <v>168</v>
      </c>
      <c r="D51" s="3" t="s">
        <v>16</v>
      </c>
      <c r="E51" s="3" t="s">
        <v>205</v>
      </c>
      <c r="F51" s="3" t="s">
        <v>206</v>
      </c>
      <c r="G51" s="4" t="n">
        <v>109</v>
      </c>
      <c r="H51" s="5" t="n">
        <v>11152.19</v>
      </c>
      <c r="I51" s="3" t="s">
        <v>19</v>
      </c>
      <c r="J51" s="3" t="s">
        <v>59</v>
      </c>
      <c r="K51" s="3" t="s">
        <v>21</v>
      </c>
      <c r="L51" s="3" t="s">
        <v>22</v>
      </c>
    </row>
    <row r="52" customFormat="false" ht="15" hidden="false" customHeight="false" outlineLevel="0" collapsed="false">
      <c r="A52" s="3" t="s">
        <v>207</v>
      </c>
      <c r="B52" s="3" t="s">
        <v>78</v>
      </c>
      <c r="C52" s="3" t="s">
        <v>122</v>
      </c>
      <c r="D52" s="3" t="s">
        <v>50</v>
      </c>
      <c r="E52" s="3" t="s">
        <v>208</v>
      </c>
      <c r="F52" s="3" t="s">
        <v>209</v>
      </c>
      <c r="G52" s="4" t="n">
        <v>17</v>
      </c>
      <c r="H52" s="5" t="n">
        <v>10347.56</v>
      </c>
      <c r="I52" s="3" t="s">
        <v>64</v>
      </c>
      <c r="J52" s="3" t="s">
        <v>96</v>
      </c>
      <c r="K52" s="3" t="s">
        <v>21</v>
      </c>
      <c r="L52" s="3" t="s">
        <v>22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" t="s">
        <v>210</v>
      </c>
      <c r="B1" s="1"/>
      <c r="C1" s="1"/>
      <c r="D1" s="1"/>
    </row>
    <row r="2" customFormat="false" ht="15" hidden="false" customHeight="false" outlineLevel="0" collapsed="false">
      <c r="A2" s="2" t="s">
        <v>211</v>
      </c>
      <c r="B2" s="2" t="s">
        <v>212</v>
      </c>
      <c r="C2" s="2" t="s">
        <v>213</v>
      </c>
      <c r="D2" s="2" t="s">
        <v>214</v>
      </c>
    </row>
    <row r="3" customFormat="false" ht="15" hidden="false" customHeight="false" outlineLevel="0" collapsed="false">
      <c r="A3" s="6" t="s">
        <v>215</v>
      </c>
      <c r="B3" s="7" t="n">
        <f aca="false">COUNTA(Process_Data!A3:A52)</f>
        <v>50</v>
      </c>
      <c r="C3" s="8" t="n">
        <f aca="false">COUNTA(Process_Data!A3:A52)</f>
        <v>50</v>
      </c>
      <c r="D3" s="3" t="s">
        <v>216</v>
      </c>
    </row>
    <row r="4" customFormat="false" ht="15" hidden="false" customHeight="false" outlineLevel="0" collapsed="false">
      <c r="A4" s="6" t="s">
        <v>217</v>
      </c>
      <c r="B4" s="7" t="n">
        <f aca="false">COUNTIF(Process_Data!I3:I52,"Completed")</f>
        <v>26</v>
      </c>
      <c r="C4" s="8" t="n">
        <f aca="false">COUNTIF(Process_Data!I3:I52,"Completed")</f>
        <v>26</v>
      </c>
      <c r="D4" s="3" t="s">
        <v>218</v>
      </c>
    </row>
    <row r="5" customFormat="false" ht="15" hidden="false" customHeight="false" outlineLevel="0" collapsed="false">
      <c r="A5" s="6" t="s">
        <v>219</v>
      </c>
      <c r="B5" s="7" t="n">
        <f aca="false">COUNTIF(Process_Data!I3:I52,"Pending")</f>
        <v>10</v>
      </c>
      <c r="C5" s="8" t="n">
        <f aca="false">COUNTIF(Process_Data!I3:I52,"Pending")</f>
        <v>10</v>
      </c>
      <c r="D5" s="3" t="s">
        <v>220</v>
      </c>
    </row>
    <row r="6" customFormat="false" ht="15" hidden="false" customHeight="false" outlineLevel="0" collapsed="false">
      <c r="A6" s="6" t="s">
        <v>221</v>
      </c>
      <c r="B6" s="7" t="n">
        <f aca="false">COUNTIF(Process_Data!I3:I52,"Delayed")</f>
        <v>14</v>
      </c>
      <c r="C6" s="8" t="n">
        <f aca="false">COUNTIF(Process_Data!I3:I52,"Delayed")</f>
        <v>14</v>
      </c>
      <c r="D6" s="3" t="s">
        <v>222</v>
      </c>
    </row>
    <row r="7" customFormat="false" ht="15" hidden="false" customHeight="false" outlineLevel="0" collapsed="false">
      <c r="A7" s="6" t="s">
        <v>223</v>
      </c>
      <c r="B7" s="7" t="n">
        <f aca="false">AVERAGE(Process_Data!G3:G52)</f>
        <v>100.7</v>
      </c>
      <c r="C7" s="8" t="n">
        <f aca="false">AVERAGE(Process_Data!G3:G52)</f>
        <v>100.7</v>
      </c>
      <c r="D7" s="3" t="s">
        <v>224</v>
      </c>
    </row>
    <row r="8" customFormat="false" ht="15" hidden="false" customHeight="false" outlineLevel="0" collapsed="false">
      <c r="A8" s="6" t="s">
        <v>225</v>
      </c>
      <c r="B8" s="7" t="n">
        <f aca="false">MAX(Process_Data!G3:G52)</f>
        <v>180</v>
      </c>
      <c r="C8" s="8" t="n">
        <f aca="false">MAX(Process_Data!G3:G52)</f>
        <v>180</v>
      </c>
      <c r="D8" s="3" t="s">
        <v>226</v>
      </c>
    </row>
    <row r="9" customFormat="false" ht="15" hidden="false" customHeight="false" outlineLevel="0" collapsed="false">
      <c r="A9" s="6" t="s">
        <v>227</v>
      </c>
      <c r="B9" s="7" t="n">
        <f aca="false">MIN(Process_Data!G3:G52)</f>
        <v>17</v>
      </c>
      <c r="C9" s="8" t="n">
        <f aca="false">MIN(Process_Data!G3:G52)</f>
        <v>17</v>
      </c>
      <c r="D9" s="3" t="s">
        <v>228</v>
      </c>
    </row>
    <row r="10" customFormat="false" ht="15" hidden="false" customHeight="false" outlineLevel="0" collapsed="false">
      <c r="A10" s="6" t="s">
        <v>229</v>
      </c>
      <c r="B10" s="7" t="n">
        <f aca="false">SUM(Process_Data!H3:H52)</f>
        <v>361861.44</v>
      </c>
      <c r="C10" s="9" t="n">
        <f aca="false">SUM(Process_Data!H3:H52)</f>
        <v>361861.44</v>
      </c>
      <c r="D10" s="3" t="s">
        <v>230</v>
      </c>
    </row>
    <row r="11" customFormat="false" ht="15" hidden="false" customHeight="false" outlineLevel="0" collapsed="false">
      <c r="A11" s="6" t="s">
        <v>231</v>
      </c>
      <c r="B11" s="7" t="n">
        <f aca="false">AVERAGE(Process_Data!H3:H52)</f>
        <v>7237.2288</v>
      </c>
      <c r="C11" s="9" t="n">
        <f aca="false">AVERAGE(Process_Data!H3:H52)</f>
        <v>7237.2288</v>
      </c>
      <c r="D11" s="3" t="s">
        <v>232</v>
      </c>
    </row>
    <row r="12" customFormat="false" ht="15" hidden="false" customHeight="false" outlineLevel="0" collapsed="false">
      <c r="A12" s="6" t="s">
        <v>233</v>
      </c>
      <c r="B12" s="7" t="n">
        <f aca="false">COUNTIF(Process_Data!I3:I52,"Completed")/COUNTA(Process_Data!I3:I52)</f>
        <v>0.52</v>
      </c>
      <c r="C12" s="10" t="n">
        <f aca="false">COUNTIF(Process_Data!I3:I52,"Completed")/COUNTA(Process_Data!I3:I52)</f>
        <v>0.52</v>
      </c>
      <c r="D12" s="3" t="s">
        <v>234</v>
      </c>
    </row>
    <row r="13" customFormat="false" ht="15" hidden="false" customHeight="false" outlineLevel="0" collapsed="false">
      <c r="A13" s="6" t="s">
        <v>235</v>
      </c>
      <c r="B13" s="7" t="n">
        <f aca="false">COUNTIF(Process_Data!I3:I52,"Delayed")/COUNTA(Process_Data!I3:I52)</f>
        <v>0.28</v>
      </c>
      <c r="C13" s="10" t="n">
        <f aca="false">COUNTIF(Process_Data!I3:I52,"Delayed")/COUNTA(Process_Data!I3:I52)</f>
        <v>0.28</v>
      </c>
      <c r="D13" s="3" t="s">
        <v>236</v>
      </c>
    </row>
    <row r="14" customFormat="false" ht="15" hidden="false" customHeight="false" outlineLevel="0" collapsed="false">
      <c r="A14" s="6" t="s">
        <v>237</v>
      </c>
      <c r="B14" s="7" t="n">
        <f aca="false">COUNTIF(Process_Data!L3:L52,"High")</f>
        <v>19</v>
      </c>
      <c r="C14" s="8" t="n">
        <f aca="false">COUNTIF(Process_Data!L3:L52,"High")</f>
        <v>19</v>
      </c>
      <c r="D14" s="3" t="s">
        <v>238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239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</v>
      </c>
      <c r="B2" s="2" t="s">
        <v>215</v>
      </c>
      <c r="C2" s="2" t="s">
        <v>229</v>
      </c>
      <c r="D2" s="2" t="s">
        <v>223</v>
      </c>
      <c r="E2" s="2" t="s">
        <v>233</v>
      </c>
    </row>
    <row r="3" customFormat="false" ht="15" hidden="false" customHeight="false" outlineLevel="0" collapsed="false">
      <c r="A3" s="11" t="s">
        <v>35</v>
      </c>
      <c r="B3" s="12" t="n">
        <f aca="false">COUNTIF(Process_Data!D3:D52,A3)</f>
        <v>7</v>
      </c>
      <c r="C3" s="13" t="n">
        <f aca="false">SUMIF(Process_Data!D3:D52,A3,Process_Data!H3:H52)</f>
        <v>47891.81</v>
      </c>
      <c r="D3" s="14" t="n">
        <f aca="false">AVERAGEIF(Process_Data!D3:D52,A3,Process_Data!G3:G52)</f>
        <v>113.571428571429</v>
      </c>
      <c r="E3" s="15" t="n">
        <f aca="false">COUNTIFS(Process_Data!D3:D52,A3,Process_Data!I3:I52,"Completed")/COUNTIF(Process_Data!D3:D52,A3)</f>
        <v>0.857142857142857</v>
      </c>
    </row>
    <row r="4" customFormat="false" ht="15" hidden="false" customHeight="false" outlineLevel="0" collapsed="false">
      <c r="A4" s="11" t="s">
        <v>61</v>
      </c>
      <c r="B4" s="12" t="n">
        <f aca="false">COUNTIF(Process_Data!D3:D52,A4)</f>
        <v>7</v>
      </c>
      <c r="C4" s="13" t="n">
        <f aca="false">SUMIF(Process_Data!D3:D52,A4,Process_Data!H3:H52)</f>
        <v>51828.59</v>
      </c>
      <c r="D4" s="14" t="n">
        <f aca="false">AVERAGEIF(Process_Data!D3:D52,A4,Process_Data!G3:G52)</f>
        <v>68.2857142857143</v>
      </c>
      <c r="E4" s="15" t="n">
        <f aca="false">COUNTIFS(Process_Data!D3:D52,A4,Process_Data!I3:I52,"Completed")/COUNTIF(Process_Data!D3:D52,A4)</f>
        <v>0.714285714285714</v>
      </c>
    </row>
    <row r="5" customFormat="false" ht="15" hidden="false" customHeight="false" outlineLevel="0" collapsed="false">
      <c r="A5" s="11" t="s">
        <v>73</v>
      </c>
      <c r="B5" s="12" t="n">
        <f aca="false">COUNTIF(Process_Data!D3:D52,A5)</f>
        <v>3</v>
      </c>
      <c r="C5" s="13" t="n">
        <f aca="false">SUMIF(Process_Data!D3:D52,A5,Process_Data!H3:H52)</f>
        <v>7848.81</v>
      </c>
      <c r="D5" s="14" t="n">
        <f aca="false">AVERAGEIF(Process_Data!D3:D52,A5,Process_Data!G3:G52)</f>
        <v>137.666666666667</v>
      </c>
      <c r="E5" s="15" t="n">
        <f aca="false">COUNTIFS(Process_Data!D3:D52,A5,Process_Data!I3:I52,"Completed")/COUNTIF(Process_Data!D3:D52,A5)</f>
        <v>0.666666666666667</v>
      </c>
    </row>
    <row r="6" customFormat="false" ht="15" hidden="false" customHeight="false" outlineLevel="0" collapsed="false">
      <c r="A6" s="11" t="s">
        <v>26</v>
      </c>
      <c r="B6" s="12" t="n">
        <f aca="false">COUNTIF(Process_Data!D3:D52,A6)</f>
        <v>7</v>
      </c>
      <c r="C6" s="13" t="n">
        <f aca="false">SUMIF(Process_Data!D3:D52,A6,Process_Data!H3:H52)</f>
        <v>44060.09</v>
      </c>
      <c r="D6" s="14" t="n">
        <f aca="false">AVERAGEIF(Process_Data!D3:D52,A6,Process_Data!G3:G52)</f>
        <v>89.2857142857143</v>
      </c>
      <c r="E6" s="15" t="n">
        <f aca="false">COUNTIFS(Process_Data!D3:D52,A6,Process_Data!I3:I52,"Completed")/COUNTIF(Process_Data!D3:D52,A6)</f>
        <v>0.285714285714286</v>
      </c>
    </row>
    <row r="7" customFormat="false" ht="15" hidden="false" customHeight="false" outlineLevel="0" collapsed="false">
      <c r="A7" s="11" t="s">
        <v>16</v>
      </c>
      <c r="B7" s="12" t="n">
        <f aca="false">COUNTIF(Process_Data!D3:D52,A7)</f>
        <v>9</v>
      </c>
      <c r="C7" s="13" t="n">
        <f aca="false">SUMIF(Process_Data!D3:D52,A7,Process_Data!H3:H52)</f>
        <v>68219.34</v>
      </c>
      <c r="D7" s="14" t="n">
        <f aca="false">AVERAGEIF(Process_Data!D3:D52,A7,Process_Data!G3:G52)</f>
        <v>115.222222222222</v>
      </c>
      <c r="E7" s="15" t="n">
        <f aca="false">COUNTIFS(Process_Data!D3:D52,A7,Process_Data!I3:I52,"Completed")/COUNTIF(Process_Data!D3:D52,A7)</f>
        <v>0.222222222222222</v>
      </c>
    </row>
    <row r="8" customFormat="false" ht="15" hidden="false" customHeight="false" outlineLevel="0" collapsed="false">
      <c r="A8" s="11" t="s">
        <v>33</v>
      </c>
      <c r="B8" s="12" t="n">
        <f aca="false">COUNTIF(Process_Data!D3:D52,A8)</f>
        <v>6</v>
      </c>
      <c r="C8" s="13" t="n">
        <f aca="false">SUMIF(Process_Data!D3:D52,A8,Process_Data!H3:H52)</f>
        <v>59410.27</v>
      </c>
      <c r="D8" s="14" t="n">
        <f aca="false">AVERAGEIF(Process_Data!D3:D52,A8,Process_Data!G3:G52)</f>
        <v>95.6666666666667</v>
      </c>
      <c r="E8" s="15" t="n">
        <f aca="false">COUNTIFS(Process_Data!D3:D52,A8,Process_Data!I3:I52,"Completed")/COUNTIF(Process_Data!D3:D52,A8)</f>
        <v>0.666666666666667</v>
      </c>
    </row>
    <row r="9" customFormat="false" ht="15" hidden="false" customHeight="false" outlineLevel="0" collapsed="false">
      <c r="A9" s="11" t="s">
        <v>98</v>
      </c>
      <c r="B9" s="12" t="n">
        <f aca="false">COUNTIF(Process_Data!D3:D52,A9)</f>
        <v>2</v>
      </c>
      <c r="C9" s="13" t="n">
        <f aca="false">SUMIF(Process_Data!D3:D52,A9,Process_Data!H3:H52)</f>
        <v>18011.57</v>
      </c>
      <c r="D9" s="14" t="n">
        <f aca="false">AVERAGEIF(Process_Data!D3:D52,A9,Process_Data!G3:G52)</f>
        <v>107</v>
      </c>
      <c r="E9" s="15" t="n">
        <f aca="false">COUNTIFS(Process_Data!D3:D52,A9,Process_Data!I3:I52,"Completed")/COUNTIF(Process_Data!D3:D52,A9)</f>
        <v>0.5</v>
      </c>
    </row>
    <row r="10" customFormat="false" ht="15" hidden="false" customHeight="false" outlineLevel="0" collapsed="false">
      <c r="A10" s="11" t="s">
        <v>50</v>
      </c>
      <c r="B10" s="12" t="n">
        <f aca="false">COUNTIF(Process_Data!D3:D52,A10)</f>
        <v>9</v>
      </c>
      <c r="C10" s="13" t="n">
        <f aca="false">SUMIF(Process_Data!D3:D52,A10,Process_Data!H3:H52)</f>
        <v>64590.96</v>
      </c>
      <c r="D10" s="14" t="n">
        <f aca="false">AVERAGEIF(Process_Data!D3:D52,A10,Process_Data!G3:G52)</f>
        <v>99.8888888888889</v>
      </c>
      <c r="E10" s="15" t="n">
        <f aca="false">COUNTIFS(Process_Data!D3:D52,A10,Process_Data!I3:I52,"Completed")/COUNTIF(Process_Data!D3:D52,A10)</f>
        <v>0.444444444444444</v>
      </c>
    </row>
    <row r="11" customFormat="false" ht="15" hidden="false" customHeight="false" outlineLevel="0" collapsed="false">
      <c r="A11" s="16" t="s">
        <v>240</v>
      </c>
      <c r="B11" s="17" t="n">
        <f aca="false">SUM(B3:B10)</f>
        <v>50</v>
      </c>
      <c r="C11" s="18" t="n">
        <f aca="false">SUM(C3:C10)</f>
        <v>361861.44</v>
      </c>
      <c r="D11" s="19" t="n">
        <f aca="false">AVERAGE(D3:D10)</f>
        <v>103.323412698413</v>
      </c>
      <c r="E11" s="20" t="n">
        <f aca="false">AVERAGE(E3:E10)</f>
        <v>0.544642857142857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2026-06-08T16:31:39Z</dcterms:created>
  <dc:creator>openpyxl</dc:creator>
  <dc:description/>
  <dc:language>en-US</dc:language>
  <cp:lastModifiedBy/>
  <dcterms:modified xsi:type="dcterms:W3CDTF">2026-06-08T16:31:39Z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